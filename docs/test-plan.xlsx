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ueb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atos de Prueba" sheetId="3" state="visible" r:id="rId3"/>
    <sheet xmlns:r="http://schemas.openxmlformats.org/officeDocument/2006/relationships" name="Orden Ejecución" sheetId="4" state="visible" r:id="rId4"/>
  </sheets>
  <definedNames>
    <definedName name="_xlnm._FilterDatabase" localSheetId="0" hidden="1">'Plan de Pruebas'!$A$1:$K$54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8" customWidth="1" min="3" max="3"/>
    <col width="38" customWidth="1" min="4" max="4"/>
    <col width="38" customWidth="1" min="5" max="5"/>
    <col width="50" customWidth="1" min="6" max="6"/>
    <col width="11" customWidth="1" min="7" max="7"/>
    <col width="13" customWidth="1" min="8" max="8"/>
    <col width="18" customWidth="1" min="9" max="9"/>
    <col width="12" customWidth="1" min="10" max="10"/>
    <col width="25" customWidth="1" min="11" max="11"/>
  </cols>
  <sheetData>
    <row r="1" ht="28" customHeight="1">
      <c r="A1" s="1" t="inlineStr">
        <is>
          <t>Sección</t>
        </is>
      </c>
      <c r="B1" s="1" t="inlineStr">
        <is>
          <t>ID</t>
        </is>
      </c>
      <c r="C1" s="1" t="inlineStr">
        <is>
          <t>Caso</t>
        </is>
      </c>
      <c r="D1" s="1" t="inlineStr">
        <is>
          <t>Pre-condición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Estado</t>
        </is>
      </c>
      <c r="I1" s="1" t="inlineStr">
        <is>
          <t>Ejecutado por</t>
        </is>
      </c>
      <c r="J1" s="1" t="inlineStr">
        <is>
          <t>Fecha</t>
        </is>
      </c>
      <c r="K1" s="1" t="inlineStr">
        <is>
          <t>Comentarios</t>
        </is>
      </c>
    </row>
    <row r="2">
      <c r="A2" s="2" t="inlineStr">
        <is>
          <t>1. Ingestión</t>
        </is>
      </c>
      <c r="B2" s="3" t="inlineStr">
        <is>
          <t>TC-01</t>
        </is>
      </c>
      <c r="C2" s="3" t="inlineStr">
        <is>
          <t>Ingest XML válido (Tipo 33)</t>
        </is>
      </c>
      <c r="D2" s="3" t="inlineStr">
        <is>
          <t>XML bien formado con TipoDTE=33, OC válida, HES aprobada</t>
        </is>
      </c>
      <c r="E2" s="3" t="inlineStr">
        <is>
          <t>POST /odata/v4/.../IngestFromXml con {XmlData: '&lt;XML&gt;'}</t>
        </is>
      </c>
      <c r="F2" s="3" t="inlineStr">
        <is>
          <t>Registro creado en estado '01' Pendiente sin FE_RECEP. XmlData y campos principales cargados</t>
        </is>
      </c>
      <c r="G2" s="4" t="inlineStr">
        <is>
          <t>Alta</t>
        </is>
      </c>
      <c r="H2" s="3" t="inlineStr">
        <is>
          <t>Pendiente</t>
        </is>
      </c>
      <c r="I2" s="3" t="inlineStr"/>
      <c r="J2" s="3" t="inlineStr"/>
      <c r="K2" s="3" t="inlineStr"/>
    </row>
    <row r="3">
      <c r="A3" s="2" t="inlineStr">
        <is>
          <t>1. Ingestión</t>
        </is>
      </c>
      <c r="B3" s="3" t="inlineStr">
        <is>
          <t>TC-02</t>
        </is>
      </c>
      <c r="C3" s="3" t="inlineStr">
        <is>
          <t>Filtro tipo DTE no permitido</t>
        </is>
      </c>
      <c r="D3" s="3" t="inlineStr">
        <is>
          <t>XML con TipoDTE=110</t>
        </is>
      </c>
      <c r="E3" s="3" t="inlineStr">
        <is>
          <t>IngestFromXml</t>
        </is>
      </c>
      <c r="F3" s="3" t="inlineStr">
        <is>
          <t>Registro descartado. Warning: 'Tipo de DTE 110 no permitido. Registro descartado.'</t>
        </is>
      </c>
      <c r="G3" s="4" t="inlineStr">
        <is>
          <t>Alta</t>
        </is>
      </c>
      <c r="H3" s="3" t="inlineStr">
        <is>
          <t>Pendiente</t>
        </is>
      </c>
      <c r="I3" s="3" t="inlineStr"/>
      <c r="J3" s="3" t="inlineStr"/>
      <c r="K3" s="3" t="inlineStr"/>
    </row>
    <row r="4">
      <c r="A4" s="2" t="inlineStr">
        <is>
          <t>1. Ingestión</t>
        </is>
      </c>
      <c r="B4" s="3" t="inlineStr">
        <is>
          <t>TC-03</t>
        </is>
      </c>
      <c r="C4" s="3" t="inlineStr">
        <is>
          <t>Ingest desde SII (registro nuevo)</t>
        </is>
      </c>
      <c r="D4" s="3" t="inlineStr">
        <is>
          <t>Llave (TipoDte, Folio, Proveedor) inexistente</t>
        </is>
      </c>
      <c r="E4" s="3" t="inlineStr">
        <is>
          <t>POST .../IngestFromSii con {TipoDte:'033', Folio:'1001', Proveedor, Sociedad, FechaRecepcionSii, ...}</t>
        </is>
      </c>
      <c r="F4" s="3" t="inlineStr">
        <is>
          <t>Nuevo registro en '01' con FE_RECEP. AutoProcess dispara → estado pasa según validaciones</t>
        </is>
      </c>
      <c r="G4" s="4" t="inlineStr">
        <is>
          <t>Alta</t>
        </is>
      </c>
      <c r="H4" s="3" t="inlineStr">
        <is>
          <t>Pendiente</t>
        </is>
      </c>
      <c r="I4" s="3" t="inlineStr"/>
      <c r="J4" s="3" t="inlineStr"/>
      <c r="K4" s="3" t="inlineStr"/>
    </row>
    <row r="5">
      <c r="A5" s="2" t="inlineStr">
        <is>
          <t>1. Ingestión</t>
        </is>
      </c>
      <c r="B5" s="3" t="inlineStr">
        <is>
          <t>TC-04</t>
        </is>
      </c>
      <c r="C5" s="3" t="inlineStr">
        <is>
          <t>Ingest SII sobre registro existente (vino primero por XML)</t>
        </is>
      </c>
      <c r="D5" s="3" t="inlineStr">
        <is>
          <t>Registro ya en tabla en estado '01' sin FE_RECEP</t>
        </is>
      </c>
      <c r="E5" s="3" t="inlineStr">
        <is>
          <t>IngestFromSii con misma llave + FE_RECEP</t>
        </is>
      </c>
      <c r="F5" s="3" t="inlineStr">
        <is>
          <t>Registro existente se actualiza SOLO con FE_RECEP. AutoProcess dispara</t>
        </is>
      </c>
      <c r="G5" s="4" t="inlineStr">
        <is>
          <t>Alta</t>
        </is>
      </c>
      <c r="H5" s="3" t="inlineStr">
        <is>
          <t>Pendiente</t>
        </is>
      </c>
      <c r="I5" s="3" t="inlineStr"/>
      <c r="J5" s="3" t="inlineStr"/>
      <c r="K5" s="3" t="inlineStr"/>
    </row>
    <row r="6">
      <c r="A6" s="2" t="inlineStr">
        <is>
          <t>1. Ingestión</t>
        </is>
      </c>
      <c r="B6" s="3" t="inlineStr">
        <is>
          <t>TC-05</t>
        </is>
      </c>
      <c r="C6" s="3" t="inlineStr">
        <is>
          <t>Tipos permitidos (33, 34, 46, 56, 61)</t>
        </is>
      </c>
      <c r="D6" s="3" t="inlineStr">
        <is>
          <t>XMLs separados por cada tipo</t>
        </is>
      </c>
      <c r="E6" s="3" t="inlineStr">
        <is>
          <t>IngestFromXml x 5</t>
        </is>
      </c>
      <c r="F6" s="3" t="inlineStr">
        <is>
          <t>Los 5 registros se crean en '01'</t>
        </is>
      </c>
      <c r="G6" s="5" t="inlineStr">
        <is>
          <t>Media</t>
        </is>
      </c>
      <c r="H6" s="3" t="inlineStr">
        <is>
          <t>Pendiente</t>
        </is>
      </c>
      <c r="I6" s="3" t="inlineStr"/>
      <c r="J6" s="3" t="inlineStr"/>
      <c r="K6" s="3" t="inlineStr"/>
    </row>
    <row r="7">
      <c r="A7" s="6" t="inlineStr">
        <is>
          <t>2. Validaciones</t>
        </is>
      </c>
      <c r="B7" s="3" t="inlineStr">
        <is>
          <t>TC-10</t>
        </is>
      </c>
      <c r="C7" s="3" t="inlineStr">
        <is>
          <t>Sociedad no existe en SAP</t>
        </is>
      </c>
      <c r="D7" s="3" t="inlineStr">
        <is>
          <t>RUT receptor 99999999-9 no registrado</t>
        </is>
      </c>
      <c r="E7" s="3" t="inlineStr">
        <is>
          <t>Setear FechaRecepcionSii en registro '01'</t>
        </is>
      </c>
      <c r="F7" s="3" t="inlineStr">
        <is>
          <t>Estado '04'. Log: 'Sociedad del DTE no existe en SAP'</t>
        </is>
      </c>
      <c r="G7" s="4" t="inlineStr">
        <is>
          <t>Alta</t>
        </is>
      </c>
      <c r="H7" s="3" t="inlineStr">
        <is>
          <t>Pendiente</t>
        </is>
      </c>
      <c r="I7" s="3" t="inlineStr"/>
      <c r="J7" s="3" t="inlineStr"/>
      <c r="K7" s="3" t="inlineStr"/>
    </row>
    <row r="8">
      <c r="A8" s="6" t="inlineStr">
        <is>
          <t>2. Validaciones</t>
        </is>
      </c>
      <c r="B8" s="3" t="inlineStr">
        <is>
          <t>TC-11</t>
        </is>
      </c>
      <c r="C8" s="3" t="inlineStr">
        <is>
          <t>Proveedor no existe en SAP</t>
        </is>
      </c>
      <c r="D8" s="3" t="inlineStr">
        <is>
          <t>RUT proveedor no en I_Supplier.TaxNumber1</t>
        </is>
      </c>
      <c r="E8" s="3" t="inlineStr">
        <is>
          <t>Igual TC-10 con sociedad válida</t>
        </is>
      </c>
      <c r="F8" s="3" t="inlineStr">
        <is>
          <t>Estado '04'. Log: 'Proveedor del DTE no existe en SAP'</t>
        </is>
      </c>
      <c r="G8" s="4" t="inlineStr">
        <is>
          <t>Alta</t>
        </is>
      </c>
      <c r="H8" s="3" t="inlineStr">
        <is>
          <t>Pendiente</t>
        </is>
      </c>
      <c r="I8" s="3" t="inlineStr"/>
      <c r="J8" s="3" t="inlineStr"/>
      <c r="K8" s="3" t="inlineStr"/>
    </row>
    <row r="9">
      <c r="A9" s="6" t="inlineStr">
        <is>
          <t>2. Validaciones</t>
        </is>
      </c>
      <c r="B9" s="3" t="inlineStr">
        <is>
          <t>TC-12</t>
        </is>
      </c>
      <c r="C9" s="3" t="inlineStr">
        <is>
          <t>XML sin OC/HES/EM, proveedor NO servicios generales</t>
        </is>
      </c>
      <c r="D9" s="3" t="inlineStr">
        <is>
          <t>Proveedor sin clasificación PROV_IMPUTACION</t>
        </is>
      </c>
      <c r="E9" s="3" t="inlineStr">
        <is>
          <t>Ingestar XML sin nodos referencia</t>
        </is>
      </c>
      <c r="F9" s="3" t="inlineStr">
        <is>
          <t>Estado '04'. Log: 'XML no tiene los documentos de referencia OC y HES/EM'</t>
        </is>
      </c>
      <c r="G9" s="4" t="inlineStr">
        <is>
          <t>Alta</t>
        </is>
      </c>
      <c r="H9" s="3" t="inlineStr">
        <is>
          <t>Pendiente</t>
        </is>
      </c>
      <c r="I9" s="3" t="inlineStr"/>
      <c r="J9" s="3" t="inlineStr"/>
      <c r="K9" s="3" t="inlineStr"/>
    </row>
    <row r="10">
      <c r="A10" s="6" t="inlineStr">
        <is>
          <t>2. Validaciones</t>
        </is>
      </c>
      <c r="B10" s="3" t="inlineStr">
        <is>
          <t>TC-13</t>
        </is>
      </c>
      <c r="C10" s="3" t="inlineStr">
        <is>
          <t>XML con OC pero sin HES/EM</t>
        </is>
      </c>
      <c r="D10" s="3" t="inlineStr">
        <is>
          <t>Proveedor de bienes (no servicios)</t>
        </is>
      </c>
      <c r="E10" s="3" t="inlineStr">
        <is>
          <t>Idem</t>
        </is>
      </c>
      <c r="F10" s="3" t="inlineStr">
        <is>
          <t>Estado '04'. Log: 'XML no tiene la referencia de la HES o EM'</t>
        </is>
      </c>
      <c r="G10" s="4" t="inlineStr">
        <is>
          <t>Alta</t>
        </is>
      </c>
      <c r="H10" s="3" t="inlineStr">
        <is>
          <t>Pendiente</t>
        </is>
      </c>
      <c r="I10" s="3" t="inlineStr"/>
      <c r="J10" s="3" t="inlineStr"/>
      <c r="K10" s="3" t="inlineStr"/>
    </row>
    <row r="11">
      <c r="A11" s="6" t="inlineStr">
        <is>
          <t>2. Validaciones</t>
        </is>
      </c>
      <c r="B11" s="3" t="inlineStr">
        <is>
          <t>TC-14</t>
        </is>
      </c>
      <c r="C11" s="3" t="inlineStr">
        <is>
          <t>XML con HES pero sin OC</t>
        </is>
      </c>
      <c r="D11" s="3" t="inlineStr">
        <is>
          <t>Proveedor con HES pero falta OC</t>
        </is>
      </c>
      <c r="E11" s="3" t="inlineStr">
        <is>
          <t>Idem</t>
        </is>
      </c>
      <c r="F11" s="3" t="inlineStr">
        <is>
          <t>Estado '04'. Log: 'XML no tiene la referencia de la OC'</t>
        </is>
      </c>
      <c r="G11" s="4" t="inlineStr">
        <is>
          <t>Alta</t>
        </is>
      </c>
      <c r="H11" s="3" t="inlineStr">
        <is>
          <t>Pendiente</t>
        </is>
      </c>
      <c r="I11" s="3" t="inlineStr"/>
      <c r="J11" s="3" t="inlineStr"/>
      <c r="K11" s="3" t="inlineStr"/>
    </row>
    <row r="12">
      <c r="A12" s="6" t="inlineStr">
        <is>
          <t>2. Validaciones</t>
        </is>
      </c>
      <c r="B12" s="3" t="inlineStr">
        <is>
          <t>TC-15</t>
        </is>
      </c>
      <c r="C12" s="3" t="inlineStr">
        <is>
          <t>Proveedor servicios generales sin OC/HES/EM</t>
        </is>
      </c>
      <c r="D12" s="3" t="inlineStr">
        <is>
          <t>I_ClfnObjectCharcValue match para PROV_IMPUTACION</t>
        </is>
      </c>
      <c r="E12" s="3" t="inlineStr">
        <is>
          <t>Idem</t>
        </is>
      </c>
      <c r="F12" s="3" t="inlineStr">
        <is>
          <t>Validación omitida. Pipeline continúa (puede llegar a '02')</t>
        </is>
      </c>
      <c r="G12" s="4" t="inlineStr">
        <is>
          <t>Alta</t>
        </is>
      </c>
      <c r="H12" s="3" t="inlineStr">
        <is>
          <t>Pendiente</t>
        </is>
      </c>
      <c r="I12" s="3" t="inlineStr"/>
      <c r="J12" s="3" t="inlineStr"/>
      <c r="K12" s="3" t="inlineStr"/>
    </row>
    <row r="13">
      <c r="A13" s="6" t="inlineStr">
        <is>
          <t>2. Validaciones</t>
        </is>
      </c>
      <c r="B13" s="3" t="inlineStr">
        <is>
          <t>TC-16</t>
        </is>
      </c>
      <c r="C13" s="3" t="inlineStr">
        <is>
          <t>OC no existe en SAP</t>
        </is>
      </c>
      <c r="D13" s="3" t="inlineStr">
        <is>
          <t>XML refiere OC 4500000000 inexistente</t>
        </is>
      </c>
      <c r="E13" s="3" t="inlineStr">
        <is>
          <t>Idem</t>
        </is>
      </c>
      <c r="F13" s="3" t="inlineStr">
        <is>
          <t>Estado '04'. Log: 'OC referencia no existe en SAP'</t>
        </is>
      </c>
      <c r="G13" s="4" t="inlineStr">
        <is>
          <t>Alta</t>
        </is>
      </c>
      <c r="H13" s="3" t="inlineStr">
        <is>
          <t>Pendiente</t>
        </is>
      </c>
      <c r="I13" s="3" t="inlineStr"/>
      <c r="J13" s="3" t="inlineStr"/>
      <c r="K13" s="3" t="inlineStr"/>
    </row>
    <row r="14">
      <c r="A14" s="6" t="inlineStr">
        <is>
          <t>2. Validaciones</t>
        </is>
      </c>
      <c r="B14" s="3" t="inlineStr">
        <is>
          <t>TC-17</t>
        </is>
      </c>
      <c r="C14" s="3" t="inlineStr">
        <is>
          <t>OC de otra sociedad</t>
        </is>
      </c>
      <c r="D14" s="3" t="inlineStr">
        <is>
          <t>OC existe pero CompanyCode distinto</t>
        </is>
      </c>
      <c r="E14" s="3" t="inlineStr">
        <is>
          <t>Idem</t>
        </is>
      </c>
      <c r="F14" s="3" t="inlineStr">
        <is>
          <t>Estado '04'. Log: 'OC referencia no corresponde la sociedad del DTE'</t>
        </is>
      </c>
      <c r="G14" s="4" t="inlineStr">
        <is>
          <t>Alta</t>
        </is>
      </c>
      <c r="H14" s="3" t="inlineStr">
        <is>
          <t>Pendiente</t>
        </is>
      </c>
      <c r="I14" s="3" t="inlineStr"/>
      <c r="J14" s="3" t="inlineStr"/>
      <c r="K14" s="3" t="inlineStr"/>
    </row>
    <row r="15">
      <c r="A15" s="6" t="inlineStr">
        <is>
          <t>2. Validaciones</t>
        </is>
      </c>
      <c r="B15" s="3" t="inlineStr">
        <is>
          <t>TC-18</t>
        </is>
      </c>
      <c r="C15" s="3" t="inlineStr">
        <is>
          <t>OC de otro proveedor</t>
        </is>
      </c>
      <c r="D15" s="3" t="inlineStr">
        <is>
          <t>OC con Supplier distinto al resuelto</t>
        </is>
      </c>
      <c r="E15" s="3" t="inlineStr">
        <is>
          <t>Idem</t>
        </is>
      </c>
      <c r="F15" s="3" t="inlineStr">
        <is>
          <t>Estado '04'. Log: 'OC referencia no corresponde al proveedor del DTE'</t>
        </is>
      </c>
      <c r="G15" s="4" t="inlineStr">
        <is>
          <t>Alta</t>
        </is>
      </c>
      <c r="H15" s="3" t="inlineStr">
        <is>
          <t>Pendiente</t>
        </is>
      </c>
      <c r="I15" s="3" t="inlineStr"/>
      <c r="J15" s="3" t="inlineStr"/>
      <c r="K15" s="3" t="inlineStr"/>
    </row>
    <row r="16">
      <c r="A16" s="6" t="inlineStr">
        <is>
          <t>2. Validaciones</t>
        </is>
      </c>
      <c r="B16" s="3" t="inlineStr">
        <is>
          <t>TC-19</t>
        </is>
      </c>
      <c r="C16" s="3" t="inlineStr">
        <is>
          <t>OC no aprobada</t>
        </is>
      </c>
      <c r="D16" s="3" t="inlineStr">
        <is>
          <t>OC con PurchasingProcessingStatus != '05'</t>
        </is>
      </c>
      <c r="E16" s="3" t="inlineStr">
        <is>
          <t>Idem</t>
        </is>
      </c>
      <c r="F16" s="3" t="inlineStr">
        <is>
          <t>Estado '04'. Log: 'OC referencia no se encuentra autorizada'</t>
        </is>
      </c>
      <c r="G16" s="4" t="inlineStr">
        <is>
          <t>Alta</t>
        </is>
      </c>
      <c r="H16" s="3" t="inlineStr">
        <is>
          <t>Pendiente</t>
        </is>
      </c>
      <c r="I16" s="3" t="inlineStr"/>
      <c r="J16" s="3" t="inlineStr"/>
      <c r="K16" s="3" t="inlineStr"/>
    </row>
    <row r="17">
      <c r="A17" s="6" t="inlineStr">
        <is>
          <t>2. Validaciones</t>
        </is>
      </c>
      <c r="B17" s="3" t="inlineStr">
        <is>
          <t>TC-20</t>
        </is>
      </c>
      <c r="C17" s="3" t="inlineStr">
        <is>
          <t>EM no existe</t>
        </is>
      </c>
      <c r="D17" s="3" t="inlineStr">
        <is>
          <t>XML con TpoDocRef=700 apuntando a EM inexistente</t>
        </is>
      </c>
      <c r="E17" s="3" t="inlineStr">
        <is>
          <t>Idem</t>
        </is>
      </c>
      <c r="F17" s="3" t="inlineStr">
        <is>
          <t>Estado '04'. Log: 'EM referencia no existe en SAP'</t>
        </is>
      </c>
      <c r="G17" s="4" t="inlineStr">
        <is>
          <t>Alta</t>
        </is>
      </c>
      <c r="H17" s="3" t="inlineStr">
        <is>
          <t>Pendiente</t>
        </is>
      </c>
      <c r="I17" s="3" t="inlineStr"/>
      <c r="J17" s="3" t="inlineStr"/>
      <c r="K17" s="3" t="inlineStr"/>
    </row>
    <row r="18">
      <c r="A18" s="6" t="inlineStr">
        <is>
          <t>2. Validaciones</t>
        </is>
      </c>
      <c r="B18" s="3" t="inlineStr">
        <is>
          <t>TC-21</t>
        </is>
      </c>
      <c r="C18" s="3" t="inlineStr">
        <is>
          <t>EM existe pero no asociada a OC</t>
        </is>
      </c>
      <c r="D18" s="3" t="inlineStr">
        <is>
          <t>EM existe; no hay PO history match</t>
        </is>
      </c>
      <c r="E18" s="3" t="inlineStr">
        <is>
          <t>Idem</t>
        </is>
      </c>
      <c r="F18" s="3" t="inlineStr">
        <is>
          <t>Estado '04'. Log: 'EM de referencia no corresponde a la OC indicada en el DTE' + año EM capturado</t>
        </is>
      </c>
      <c r="G18" s="4" t="inlineStr">
        <is>
          <t>Alta</t>
        </is>
      </c>
      <c r="H18" s="3" t="inlineStr">
        <is>
          <t>Pendiente</t>
        </is>
      </c>
      <c r="I18" s="3" t="inlineStr"/>
      <c r="J18" s="3" t="inlineStr"/>
      <c r="K18" s="3" t="inlineStr"/>
    </row>
    <row r="19">
      <c r="A19" s="6" t="inlineStr">
        <is>
          <t>2. Validaciones</t>
        </is>
      </c>
      <c r="B19" s="3" t="inlineStr">
        <is>
          <t>TC-22</t>
        </is>
      </c>
      <c r="C19" s="3" t="inlineStr">
        <is>
          <t>HES no aprobada</t>
        </is>
      </c>
      <c r="D19" s="3" t="inlineStr">
        <is>
          <t>HES existe + asociada a OC pero ApprovalStatus != '30'</t>
        </is>
      </c>
      <c r="E19" s="3" t="inlineStr">
        <is>
          <t>Idem</t>
        </is>
      </c>
      <c r="F19" s="3" t="inlineStr">
        <is>
          <t>Estado '04'. Log: 'HES referencia no se encuentra aprobada'</t>
        </is>
      </c>
      <c r="G19" s="4" t="inlineStr">
        <is>
          <t>Alta</t>
        </is>
      </c>
      <c r="H19" s="3" t="inlineStr">
        <is>
          <t>Pendiente</t>
        </is>
      </c>
      <c r="I19" s="3" t="inlineStr"/>
      <c r="J19" s="3" t="inlineStr"/>
      <c r="K19" s="3" t="inlineStr"/>
    </row>
    <row r="20">
      <c r="A20" s="6" t="inlineStr">
        <is>
          <t>2. Validaciones</t>
        </is>
      </c>
      <c r="B20" s="3" t="inlineStr">
        <is>
          <t>TC-23</t>
        </is>
      </c>
      <c r="C20" s="3" t="inlineStr">
        <is>
          <t>NC tipo 61 sin factura base en SAP</t>
        </is>
      </c>
      <c r="D20" s="3" t="inlineStr">
        <is>
          <t>XML NC con TpoDocRef=33 FolioRef=9999, factura no contabilizada</t>
        </is>
      </c>
      <c r="E20" s="3" t="inlineStr">
        <is>
          <t>Idem</t>
        </is>
      </c>
      <c r="F20" s="3" t="inlineStr">
        <is>
          <t>Estado '04'. Log: 'Factura de origen 9999 no encontrada en historial de SAP...'</t>
        </is>
      </c>
      <c r="G20" s="4" t="inlineStr">
        <is>
          <t>Alta</t>
        </is>
      </c>
      <c r="H20" s="3" t="inlineStr">
        <is>
          <t>Pendiente</t>
        </is>
      </c>
      <c r="I20" s="3" t="inlineStr"/>
      <c r="J20" s="3" t="inlineStr"/>
      <c r="K20" s="3" t="inlineStr"/>
    </row>
    <row r="21">
      <c r="A21" s="6" t="inlineStr">
        <is>
          <t>2. Validaciones</t>
        </is>
      </c>
      <c r="B21" s="3" t="inlineStr">
        <is>
          <t>TC-24</t>
        </is>
      </c>
      <c r="C21" s="3" t="inlineStr">
        <is>
          <t>NC tipo 61 con factura base válida</t>
        </is>
      </c>
      <c r="D21" s="3" t="inlineStr">
        <is>
          <t>Factura existe en I_PurchaseOrderHistoryAPI01 con Type=2</t>
        </is>
      </c>
      <c r="E21" s="3" t="inlineStr">
        <is>
          <t>Idem</t>
        </is>
      </c>
      <c r="F21" s="3" t="inlineStr">
        <is>
          <t>Validación OK, sigue al siguiente paso</t>
        </is>
      </c>
      <c r="G21" s="4" t="inlineStr">
        <is>
          <t>Alta</t>
        </is>
      </c>
      <c r="H21" s="3" t="inlineStr">
        <is>
          <t>Pendiente</t>
        </is>
      </c>
      <c r="I21" s="3" t="inlineStr"/>
      <c r="J21" s="3" t="inlineStr"/>
      <c r="K21" s="3" t="inlineStr"/>
    </row>
    <row r="22">
      <c r="A22" s="6" t="inlineStr">
        <is>
          <t>2. Validaciones</t>
        </is>
      </c>
      <c r="B22" s="3" t="inlineStr">
        <is>
          <t>TC-25</t>
        </is>
      </c>
      <c r="C22" s="3" t="inlineStr">
        <is>
          <t>Camino feliz (todas validaciones pasan)</t>
        </is>
      </c>
      <c r="D22" s="3" t="inlineStr">
        <is>
          <t>Datos completos y consistentes</t>
        </is>
      </c>
      <c r="E22" s="3" t="inlineStr">
        <is>
          <t>Idem</t>
        </is>
      </c>
      <c r="F22" s="3" t="inlineStr">
        <is>
          <t>Estado '02' Validado. Log: 'Validaciones OK. Listo para contabilizar'</t>
        </is>
      </c>
      <c r="G22" s="7" t="inlineStr">
        <is>
          <t>Crítica</t>
        </is>
      </c>
      <c r="H22" s="3" t="inlineStr">
        <is>
          <t>Pendiente</t>
        </is>
      </c>
      <c r="I22" s="3" t="inlineStr"/>
      <c r="J22" s="3" t="inlineStr"/>
      <c r="K22" s="3" t="inlineStr"/>
    </row>
    <row r="23">
      <c r="A23" s="8" t="inlineStr">
        <is>
          <t>3. Anulación HES</t>
        </is>
      </c>
      <c r="B23" s="3" t="inlineStr">
        <is>
          <t>TC-30</t>
        </is>
      </c>
      <c r="C23" s="3" t="inlineStr">
        <is>
          <t>HES sin facturas previas</t>
        </is>
      </c>
      <c r="D23" s="3" t="inlineStr">
        <is>
          <t>Type=2 Cat=Q no devuelve nada para esa HES</t>
        </is>
      </c>
      <c r="E23" s="3" t="inlineStr">
        <is>
          <t>Validar DTE</t>
        </is>
      </c>
      <c r="F23" s="3" t="inlineStr">
        <is>
          <t>get_facturado_hes_neto = 0 → monto pendiente = monto HES completo</t>
        </is>
      </c>
      <c r="G23" s="4" t="inlineStr">
        <is>
          <t>Alta</t>
        </is>
      </c>
      <c r="H23" s="3" t="inlineStr">
        <is>
          <t>Pendiente</t>
        </is>
      </c>
      <c r="I23" s="3" t="inlineStr"/>
      <c r="J23" s="3" t="inlineStr"/>
      <c r="K23" s="3" t="inlineStr"/>
    </row>
    <row r="24">
      <c r="A24" s="8" t="inlineStr">
        <is>
          <t>3. Anulación HES</t>
        </is>
      </c>
      <c r="B24" s="3" t="inlineStr">
        <is>
          <t>TC-31</t>
        </is>
      </c>
      <c r="C24" s="3" t="inlineStr">
        <is>
          <t>HES con factura previa NO anulada</t>
        </is>
      </c>
      <c r="D24" s="3" t="inlineStr">
        <is>
          <t>1 factura S=Debe contra la HES</t>
        </is>
      </c>
      <c r="E24" s="3" t="inlineStr">
        <is>
          <t>Validar otro DTE para misma HES</t>
        </is>
      </c>
      <c r="F24" s="3" t="inlineStr">
        <is>
          <t>get_facturado_hes_neto = monto_factura → si == HES → log 'ya facturada' → estado '04'</t>
        </is>
      </c>
      <c r="G24" s="4" t="inlineStr">
        <is>
          <t>Alta</t>
        </is>
      </c>
      <c r="H24" s="3" t="inlineStr">
        <is>
          <t>Pendiente</t>
        </is>
      </c>
      <c r="I24" s="3" t="inlineStr"/>
      <c r="J24" s="3" t="inlineStr"/>
      <c r="K24" s="3" t="inlineStr"/>
    </row>
    <row r="25">
      <c r="A25" s="8" t="inlineStr">
        <is>
          <t>3. Anulación HES</t>
        </is>
      </c>
      <c r="B25" s="3" t="inlineStr">
        <is>
          <t>TC-32</t>
        </is>
      </c>
      <c r="C25" s="3" t="inlineStr">
        <is>
          <t>HES con factura anulada (reverso)</t>
        </is>
      </c>
      <c r="D25" s="3" t="inlineStr">
        <is>
          <t>1 factura S + 1 anulación H referenciando esa factura</t>
        </is>
      </c>
      <c r="E25" s="3" t="inlineStr">
        <is>
          <t>Validar nuevo DTE</t>
        </is>
      </c>
      <c r="F25" s="3" t="inlineStr">
        <is>
          <t>monto_neto = 0 (S + (-H) = 0) → HES liberada → pipeline continúa</t>
        </is>
      </c>
      <c r="G25" s="4" t="inlineStr">
        <is>
          <t>Alta</t>
        </is>
      </c>
      <c r="H25" s="3" t="inlineStr">
        <is>
          <t>Pendiente</t>
        </is>
      </c>
      <c r="I25" s="3" t="inlineStr"/>
      <c r="J25" s="3" t="inlineStr"/>
      <c r="K25" s="3" t="inlineStr"/>
    </row>
    <row r="26">
      <c r="A26" s="8" t="inlineStr">
        <is>
          <t>3. Anulación HES</t>
        </is>
      </c>
      <c r="B26" s="3" t="inlineStr">
        <is>
          <t>TC-33</t>
        </is>
      </c>
      <c r="C26" s="3" t="inlineStr">
        <is>
          <t>HES parcialmente anulada</t>
        </is>
      </c>
      <c r="D26" s="3" t="inlineStr">
        <is>
          <t>S=1000, H=500 (reverso parcial)</t>
        </is>
      </c>
      <c r="E26" s="3" t="inlineStr">
        <is>
          <t>Validar</t>
        </is>
      </c>
      <c r="F26" s="3" t="inlineStr">
        <is>
          <t>monto_neto = 500 → si nuevo DTE = 500 ok; si != → no match</t>
        </is>
      </c>
      <c r="G26" s="5" t="inlineStr">
        <is>
          <t>Media</t>
        </is>
      </c>
      <c r="H26" s="3" t="inlineStr">
        <is>
          <t>Pendiente</t>
        </is>
      </c>
      <c r="I26" s="3" t="inlineStr"/>
      <c r="J26" s="3" t="inlineStr"/>
      <c r="K26" s="3" t="inlineStr"/>
    </row>
    <row r="27">
      <c r="A27" s="9" t="inlineStr">
        <is>
          <t>4. Validar → Contabilizar</t>
        </is>
      </c>
      <c r="B27" s="3" t="inlineStr">
        <is>
          <t>TC-40</t>
        </is>
      </c>
      <c r="C27" s="3" t="inlineStr">
        <is>
          <t>Botón Contabilizar habilitado en '02'</t>
        </is>
      </c>
      <c r="D27" s="3" t="inlineStr">
        <is>
          <t>Registro en '02'</t>
        </is>
      </c>
      <c r="E27" s="3" t="inlineStr">
        <is>
          <t>UI: seleccionar fila</t>
        </is>
      </c>
      <c r="F27" s="3" t="inlineStr">
        <is>
          <t>Botón Contabilizar habilitado, Reprocesar y Rechazar habilitados, IndicarDocRef y Posiciones deshabilitados</t>
        </is>
      </c>
      <c r="G27" s="4" t="inlineStr">
        <is>
          <t>Alta</t>
        </is>
      </c>
      <c r="H27" s="3" t="inlineStr">
        <is>
          <t>Pendiente</t>
        </is>
      </c>
      <c r="I27" s="3" t="inlineStr"/>
      <c r="J27" s="3" t="inlineStr"/>
      <c r="K27" s="3" t="inlineStr"/>
    </row>
    <row r="28">
      <c r="A28" s="9" t="inlineStr">
        <is>
          <t>4. Validar → Contabilizar</t>
        </is>
      </c>
      <c r="B28" s="3" t="inlineStr">
        <is>
          <t>TC-41</t>
        </is>
      </c>
      <c r="C28" s="3" t="inlineStr">
        <is>
          <t>Botón deshabilitado en otros estados</t>
        </is>
      </c>
      <c r="D28" s="3" t="inlineStr">
        <is>
          <t>Registro en '01', '04', '05'</t>
        </is>
      </c>
      <c r="E28" s="3" t="inlineStr">
        <is>
          <t>UI: seleccionar</t>
        </is>
      </c>
      <c r="F28" s="3" t="inlineStr">
        <is>
          <t>Botón Contabilizar deshabilitado</t>
        </is>
      </c>
      <c r="G28" s="4" t="inlineStr">
        <is>
          <t>Alta</t>
        </is>
      </c>
      <c r="H28" s="3" t="inlineStr">
        <is>
          <t>Pendiente</t>
        </is>
      </c>
      <c r="I28" s="3" t="inlineStr"/>
      <c r="J28" s="3" t="inlineStr"/>
      <c r="K28" s="3" t="inlineStr"/>
    </row>
    <row r="29">
      <c r="A29" s="9" t="inlineStr">
        <is>
          <t>4. Validar → Contabilizar</t>
        </is>
      </c>
      <c r="B29" s="3" t="inlineStr">
        <is>
          <t>TC-42</t>
        </is>
      </c>
      <c r="C29" s="3" t="inlineStr">
        <is>
          <t>Contabilizar factura simple (Tipo 33)</t>
        </is>
      </c>
      <c r="D29" s="3" t="inlineStr">
        <is>
          <t>Estado '02', sin EM</t>
        </is>
      </c>
      <c r="E29" s="3" t="inlineStr">
        <is>
          <t>Click Contabilizar</t>
        </is>
      </c>
      <c r="F29" s="3" t="inlineStr">
        <is>
          <t>Llamada a Contabilizar(...) → estado '06' Aceptado + DocumentoFacturaSap y AnioFacturaSap poblados</t>
        </is>
      </c>
      <c r="G29" s="7" t="inlineStr">
        <is>
          <t>Crítica</t>
        </is>
      </c>
      <c r="H29" s="3" t="inlineStr">
        <is>
          <t>Pendiente</t>
        </is>
      </c>
      <c r="I29" s="3" t="inlineStr"/>
      <c r="J29" s="3" t="inlineStr"/>
      <c r="K29" s="3" t="inlineStr"/>
    </row>
    <row r="30">
      <c r="A30" s="9" t="inlineStr">
        <is>
          <t>4. Validar → Contabilizar</t>
        </is>
      </c>
      <c r="B30" s="3" t="inlineStr">
        <is>
          <t>TC-43</t>
        </is>
      </c>
      <c r="C30" s="3" t="inlineStr">
        <is>
          <t>Contabilizar falla (Posting Period cerrado)</t>
        </is>
      </c>
      <c r="D30" s="3" t="inlineStr">
        <is>
          <t>API_SUPPLIERINVOICE devuelve error</t>
        </is>
      </c>
      <c r="E30" s="3" t="inlineStr">
        <is>
          <t>Click Contabilizar</t>
        </is>
      </c>
      <c r="F30" s="3" t="inlineStr">
        <is>
          <t>Estado '05' No Procesado. Log con motivo del error</t>
        </is>
      </c>
      <c r="G30" s="4" t="inlineStr">
        <is>
          <t>Alta</t>
        </is>
      </c>
      <c r="H30" s="3" t="inlineStr">
        <is>
          <t>Pendiente</t>
        </is>
      </c>
      <c r="I30" s="3" t="inlineStr"/>
      <c r="J30" s="3" t="inlineStr"/>
      <c r="K30" s="3" t="inlineStr"/>
    </row>
    <row r="31">
      <c r="A31" s="9" t="inlineStr">
        <is>
          <t>4. Validar → Contabilizar</t>
        </is>
      </c>
      <c r="B31" s="3" t="inlineStr">
        <is>
          <t>TC-44</t>
        </is>
      </c>
      <c r="C31" s="3" t="inlineStr">
        <is>
          <t>Re-contabilizar tras error</t>
        </is>
      </c>
      <c r="D31" s="3" t="inlineStr">
        <is>
          <t>Estado '05'</t>
        </is>
      </c>
      <c r="E31" s="3" t="inlineStr">
        <is>
          <t>Click Reprocesar → Contabilizar</t>
        </is>
      </c>
      <c r="F31" s="3" t="inlineStr">
        <is>
          <t>Flujo completo se repite</t>
        </is>
      </c>
      <c r="G31" s="5" t="inlineStr">
        <is>
          <t>Media</t>
        </is>
      </c>
      <c r="H31" s="3" t="inlineStr">
        <is>
          <t>Pendiente</t>
        </is>
      </c>
      <c r="I31" s="3" t="inlineStr"/>
      <c r="J31" s="3" t="inlineStr"/>
      <c r="K31" s="3" t="inlineStr"/>
    </row>
    <row r="32">
      <c r="A32" s="10" t="inlineStr">
        <is>
          <t>5. NC Pop-up</t>
        </is>
      </c>
      <c r="B32" s="3" t="inlineStr">
        <is>
          <t>TC-50</t>
        </is>
      </c>
      <c r="C32" s="3" t="inlineStr">
        <is>
          <t>NC 61 con EM → pop-up aparece</t>
        </is>
      </c>
      <c r="D32" s="3" t="inlineStr">
        <is>
          <t>Estado '02', TipoDte='061', EM no vacía</t>
        </is>
      </c>
      <c r="E32" s="3" t="inlineStr">
        <is>
          <t>Click Contabilizar</t>
        </is>
      </c>
      <c r="F32" s="3" t="inlineStr">
        <is>
          <t>Aparece diálogo 'Motivo de Nota de Crédito' con 2 radios</t>
        </is>
      </c>
      <c r="G32" s="4" t="inlineStr">
        <is>
          <t>Alta</t>
        </is>
      </c>
      <c r="H32" s="3" t="inlineStr">
        <is>
          <t>Pendiente</t>
        </is>
      </c>
      <c r="I32" s="3" t="inlineStr"/>
      <c r="J32" s="3" t="inlineStr"/>
      <c r="K32" s="3" t="inlineStr"/>
    </row>
    <row r="33">
      <c r="A33" s="10" t="inlineStr">
        <is>
          <t>5. NC Pop-up</t>
        </is>
      </c>
      <c r="B33" s="3" t="inlineStr">
        <is>
          <t>TC-51</t>
        </is>
      </c>
      <c r="C33" s="3" t="inlineStr">
        <is>
          <t>Devolución seleccionada sin MaterialDoc</t>
        </is>
      </c>
      <c r="D33" s="3" t="inlineStr">
        <is>
          <t>Pop-up abierto</t>
        </is>
      </c>
      <c r="E33" s="3" t="inlineStr">
        <is>
          <t>Seleccionar 'Devolución' sin llenar inputs → Confirmar</t>
        </is>
      </c>
      <c r="F33" s="3" t="inlineStr">
        <is>
          <t>Form Material Doc visible. MessageToast: 'Para Devolución debe indicar el Documento Material y Año'</t>
        </is>
      </c>
      <c r="G33" s="4" t="inlineStr">
        <is>
          <t>Alta</t>
        </is>
      </c>
      <c r="H33" s="3" t="inlineStr">
        <is>
          <t>Pendiente</t>
        </is>
      </c>
      <c r="I33" s="3" t="inlineStr"/>
      <c r="J33" s="3" t="inlineStr"/>
      <c r="K33" s="3" t="inlineStr"/>
    </row>
    <row r="34">
      <c r="A34" s="10" t="inlineStr">
        <is>
          <t>5. NC Pop-up</t>
        </is>
      </c>
      <c r="B34" s="3" t="inlineStr">
        <is>
          <t>TC-52</t>
        </is>
      </c>
      <c r="C34" s="3" t="inlineStr">
        <is>
          <t>Devolución con MaterialDoc completo</t>
        </is>
      </c>
      <c r="D34" s="3" t="inlineStr">
        <is>
          <t>Pop-up abierto</t>
        </is>
      </c>
      <c r="E34" s="3" t="inlineStr">
        <is>
          <t>Devolución + MaterialDoc=5000000123, Año=2026 → Confirmar</t>
        </is>
      </c>
      <c r="F34" s="3" t="inlineStr">
        <is>
          <t>PATCH graba MotivoNc='1', MaterialDocRef, MaterialDocRefAnio. Contabilizar → '06'. Log: 'Devolución de Mercancía'</t>
        </is>
      </c>
      <c r="G34" s="7" t="inlineStr">
        <is>
          <t>Crítica</t>
        </is>
      </c>
      <c r="H34" s="3" t="inlineStr">
        <is>
          <t>Pendiente</t>
        </is>
      </c>
      <c r="I34" s="3" t="inlineStr"/>
      <c r="J34" s="3" t="inlineStr"/>
      <c r="K34" s="3" t="inlineStr"/>
    </row>
    <row r="35">
      <c r="A35" s="10" t="inlineStr">
        <is>
          <t>5. NC Pop-up</t>
        </is>
      </c>
      <c r="B35" s="3" t="inlineStr">
        <is>
          <t>TC-53</t>
        </is>
      </c>
      <c r="C35" s="3" t="inlineStr">
        <is>
          <t>Ajuste de Precio</t>
        </is>
      </c>
      <c r="D35" s="3" t="inlineStr">
        <is>
          <t>Pop-up abierto</t>
        </is>
      </c>
      <c r="E35" s="3" t="inlineStr">
        <is>
          <t>Seleccionar 'Ajuste' + Confirmar</t>
        </is>
      </c>
      <c r="F35" s="3" t="inlineStr">
        <is>
          <t>Form Material oculto. PATCH graba MotivoNc='2'. Contabilizar invocada. Log: 'Ajuste de Precio'</t>
        </is>
      </c>
      <c r="G35" s="4" t="inlineStr">
        <is>
          <t>Alta</t>
        </is>
      </c>
      <c r="H35" s="3" t="inlineStr">
        <is>
          <t>Pendiente</t>
        </is>
      </c>
      <c r="I35" s="3" t="inlineStr"/>
      <c r="J35" s="3" t="inlineStr"/>
      <c r="K35" s="3" t="inlineStr"/>
    </row>
    <row r="36">
      <c r="A36" s="10" t="inlineStr">
        <is>
          <t>5. NC Pop-up</t>
        </is>
      </c>
      <c r="B36" s="3" t="inlineStr">
        <is>
          <t>TC-54</t>
        </is>
      </c>
      <c r="C36" s="3" t="inlineStr">
        <is>
          <t>Cancel del pop-up</t>
        </is>
      </c>
      <c r="D36" s="3" t="inlineStr">
        <is>
          <t>Pop-up abierto</t>
        </is>
      </c>
      <c r="E36" s="3" t="inlineStr">
        <is>
          <t>Click Cancelar</t>
        </is>
      </c>
      <c r="F36" s="3" t="inlineStr">
        <is>
          <t>Diálogo cierra. No se actualiza el registro. Estado permanece '02'</t>
        </is>
      </c>
      <c r="G36" s="5" t="inlineStr">
        <is>
          <t>Media</t>
        </is>
      </c>
      <c r="H36" s="3" t="inlineStr">
        <is>
          <t>Pendiente</t>
        </is>
      </c>
      <c r="I36" s="3" t="inlineStr"/>
      <c r="J36" s="3" t="inlineStr"/>
      <c r="K36" s="3" t="inlineStr"/>
    </row>
    <row r="37">
      <c r="A37" s="10" t="inlineStr">
        <is>
          <t>5. NC Pop-up</t>
        </is>
      </c>
      <c r="B37" s="3" t="inlineStr">
        <is>
          <t>TC-55</t>
        </is>
      </c>
      <c r="C37" s="3" t="inlineStr">
        <is>
          <t>NC 61 SIN EM → sin pop-up</t>
        </is>
      </c>
      <c r="D37" s="3" t="inlineStr">
        <is>
          <t>NC con OC pero sin EM</t>
        </is>
      </c>
      <c r="E37" s="3" t="inlineStr">
        <is>
          <t>Click Contabilizar</t>
        </is>
      </c>
      <c r="F37" s="3" t="inlineStr">
        <is>
          <t>Contabiliza directamente sin pop-up</t>
        </is>
      </c>
      <c r="G37" s="5" t="inlineStr">
        <is>
          <t>Media</t>
        </is>
      </c>
      <c r="H37" s="3" t="inlineStr">
        <is>
          <t>Pendiente</t>
        </is>
      </c>
      <c r="I37" s="3" t="inlineStr"/>
      <c r="J37" s="3" t="inlineStr"/>
      <c r="K37" s="3" t="inlineStr"/>
    </row>
    <row r="38">
      <c r="A38" s="11" t="inlineStr">
        <is>
          <t>6. Refrescar + Grace</t>
        </is>
      </c>
      <c r="B38" s="3" t="inlineStr">
        <is>
          <t>TC-60</t>
        </is>
      </c>
      <c r="C38" s="3" t="inlineStr">
        <is>
          <t>Sincronización: factura en SAP fuera del monitor</t>
        </is>
      </c>
      <c r="D38" s="3" t="inlineStr">
        <is>
          <t>Registro '04'. Factura contabilizada directo en SAP</t>
        </is>
      </c>
      <c r="E38" s="3" t="inlineStr">
        <is>
          <t>Click Refrescar</t>
        </is>
      </c>
      <c r="F38" s="3" t="inlineStr">
        <is>
          <t>Estado '06' Aceptado. DocumentoFacturaSap poblado. Log: 'Sincronizado: Documento X detectado en SAP...'</t>
        </is>
      </c>
      <c r="G38" s="4" t="inlineStr">
        <is>
          <t>Alta</t>
        </is>
      </c>
      <c r="H38" s="3" t="inlineStr">
        <is>
          <t>Pendiente</t>
        </is>
      </c>
      <c r="I38" s="3" t="inlineStr"/>
      <c r="J38" s="3" t="inlineStr"/>
      <c r="K38" s="3" t="inlineStr"/>
    </row>
    <row r="39">
      <c r="A39" s="11" t="inlineStr">
        <is>
          <t>6. Refrescar + Grace</t>
        </is>
      </c>
      <c r="B39" s="3" t="inlineStr">
        <is>
          <t>TC-61</t>
        </is>
      </c>
      <c r="C39" s="3" t="inlineStr">
        <is>
          <t>Grace period: 7 días en '04'</t>
        </is>
      </c>
      <c r="D39" s="3" t="inlineStr">
        <is>
          <t>DiasPendientes &gt;= 7 y estado '04'</t>
        </is>
      </c>
      <c r="E39" s="3" t="inlineStr">
        <is>
          <t>Click Refrescar</t>
        </is>
      </c>
      <c r="F39" s="3" t="inlineStr">
        <is>
          <t>Estado '03' Rechazado. Log: 'Rechazado automáticamente: N días en Por Rechazar sin corrección'</t>
        </is>
      </c>
      <c r="G39" s="4" t="inlineStr">
        <is>
          <t>Alta</t>
        </is>
      </c>
      <c r="H39" s="3" t="inlineStr">
        <is>
          <t>Pendiente</t>
        </is>
      </c>
      <c r="I39" s="3" t="inlineStr"/>
      <c r="J39" s="3" t="inlineStr"/>
      <c r="K39" s="3" t="inlineStr"/>
    </row>
    <row r="40">
      <c r="A40" s="11" t="inlineStr">
        <is>
          <t>6. Refrescar + Grace</t>
        </is>
      </c>
      <c r="B40" s="3" t="inlineStr">
        <is>
          <t>TC-62</t>
        </is>
      </c>
      <c r="C40" s="3" t="inlineStr">
        <is>
          <t>Grace period: 6 días no aplica</t>
        </is>
      </c>
      <c r="D40" s="3" t="inlineStr">
        <is>
          <t>DiasPendientes = 6, estado '04'</t>
        </is>
      </c>
      <c r="E40" s="3" t="inlineStr">
        <is>
          <t>Click Refrescar</t>
        </is>
      </c>
      <c r="F40" s="3" t="inlineStr">
        <is>
          <t>Estado se mantiene en '04' (o cambia si re-validación pasa/falla)</t>
        </is>
      </c>
      <c r="G40" s="5" t="inlineStr">
        <is>
          <t>Media</t>
        </is>
      </c>
      <c r="H40" s="3" t="inlineStr">
        <is>
          <t>Pendiente</t>
        </is>
      </c>
      <c r="I40" s="3" t="inlineStr"/>
      <c r="J40" s="3" t="inlineStr"/>
      <c r="K40" s="3" t="inlineStr"/>
    </row>
    <row r="41">
      <c r="A41" s="11" t="inlineStr">
        <is>
          <t>6. Refrescar + Grace</t>
        </is>
      </c>
      <c r="B41" s="3" t="inlineStr">
        <is>
          <t>TC-63</t>
        </is>
      </c>
      <c r="C41" s="3" t="inlineStr">
        <is>
          <t>Re-validación: HES ahora aprobada</t>
        </is>
      </c>
      <c r="D41" s="3" t="inlineStr">
        <is>
          <t>Registro '04' por TC-22 (HES no aprobada). Aprobar HES en SAP</t>
        </is>
      </c>
      <c r="E41" s="3" t="inlineStr">
        <is>
          <t>Click Refrescar</t>
        </is>
      </c>
      <c r="F41" s="3" t="inlineStr">
        <is>
          <t>Pipeline se re-ejecuta → HES aprobada → estado '02' Validado</t>
        </is>
      </c>
      <c r="G41" s="4" t="inlineStr">
        <is>
          <t>Alta</t>
        </is>
      </c>
      <c r="H41" s="3" t="inlineStr">
        <is>
          <t>Pendiente</t>
        </is>
      </c>
      <c r="I41" s="3" t="inlineStr"/>
      <c r="J41" s="3" t="inlineStr"/>
      <c r="K41" s="3" t="inlineStr"/>
    </row>
    <row r="42">
      <c r="A42" s="11" t="inlineStr">
        <is>
          <t>6. Refrescar + Grace</t>
        </is>
      </c>
      <c r="B42" s="3" t="inlineStr">
        <is>
          <t>TC-64</t>
        </is>
      </c>
      <c r="C42" s="3" t="inlineStr">
        <is>
          <t>Refrescar no toca estados terminales</t>
        </is>
      </c>
      <c r="D42" s="3" t="inlineStr">
        <is>
          <t>Hay registros en '03', '06' mezclados con '04'</t>
        </is>
      </c>
      <c r="E42" s="3" t="inlineStr">
        <is>
          <t>Click Refrescar</t>
        </is>
      </c>
      <c r="F42" s="3" t="inlineStr">
        <is>
          <t>Solo se procesan los '01', '04', '05'. Los terminales quedan intactos</t>
        </is>
      </c>
      <c r="G42" s="4" t="inlineStr">
        <is>
          <t>Alta</t>
        </is>
      </c>
      <c r="H42" s="3" t="inlineStr">
        <is>
          <t>Pendiente</t>
        </is>
      </c>
      <c r="I42" s="3" t="inlineStr"/>
      <c r="J42" s="3" t="inlineStr"/>
      <c r="K42" s="3" t="inlineStr"/>
    </row>
    <row r="43">
      <c r="A43" s="12" t="inlineStr">
        <is>
          <t>7. Frontend / UX</t>
        </is>
      </c>
      <c r="B43" s="3" t="inlineStr">
        <is>
          <t>TC-70</t>
        </is>
      </c>
      <c r="C43" s="3" t="inlineStr">
        <is>
          <t>Tooltip de Log</t>
        </is>
      </c>
      <c r="D43" s="3" t="inlineStr">
        <is>
          <t>Cualquier registro con log</t>
        </is>
      </c>
      <c r="E43" s="3" t="inlineStr">
        <is>
          <t>Hover sobre badge Estado</t>
        </is>
      </c>
      <c r="F43" s="3" t="inlineStr">
        <is>
          <t>Tooltip muestra LogProcesamiento completo</t>
        </is>
      </c>
      <c r="G43" s="5" t="inlineStr">
        <is>
          <t>Media</t>
        </is>
      </c>
      <c r="H43" s="3" t="inlineStr">
        <is>
          <t>Pendiente</t>
        </is>
      </c>
      <c r="I43" s="3" t="inlineStr"/>
      <c r="J43" s="3" t="inlineStr"/>
      <c r="K43" s="3" t="inlineStr"/>
    </row>
    <row r="44">
      <c r="A44" s="12" t="inlineStr">
        <is>
          <t>7. Frontend / UX</t>
        </is>
      </c>
      <c r="B44" s="3" t="inlineStr">
        <is>
          <t>TC-71</t>
        </is>
      </c>
      <c r="C44" s="3" t="inlineStr">
        <is>
          <t>Diálogo de Log</t>
        </is>
      </c>
      <c r="D44" s="3" t="inlineStr">
        <is>
          <t>Cualquier registro</t>
        </is>
      </c>
      <c r="E44" s="3" t="inlineStr">
        <is>
          <t>Click sobre badge Estado</t>
        </is>
      </c>
      <c r="F44" s="3" t="inlineStr">
        <is>
          <t>MessageBox con título 'Log Procesamiento — Folio X' y contenido del log</t>
        </is>
      </c>
      <c r="G44" s="5" t="inlineStr">
        <is>
          <t>Media</t>
        </is>
      </c>
      <c r="H44" s="3" t="inlineStr">
        <is>
          <t>Pendiente</t>
        </is>
      </c>
      <c r="I44" s="3" t="inlineStr"/>
      <c r="J44" s="3" t="inlineStr"/>
      <c r="K44" s="3" t="inlineStr"/>
    </row>
    <row r="45">
      <c r="A45" s="12" t="inlineStr">
        <is>
          <t>7. Frontend / UX</t>
        </is>
      </c>
      <c r="B45" s="3" t="inlineStr">
        <is>
          <t>TC-72</t>
        </is>
      </c>
      <c r="C45" s="3" t="inlineStr">
        <is>
          <t>Matchcode Sociedad</t>
        </is>
      </c>
      <c r="D45" s="3" t="inlineStr">
        <is>
          <t>UI cargada</t>
        </is>
      </c>
      <c r="E45" s="3" t="inlineStr">
        <is>
          <t>Click value-help icon de filtro Sociedad</t>
        </is>
      </c>
      <c r="F45" s="3" t="inlineStr">
        <is>
          <t>Diálogo lista RUT + Código SAP + Nombre. Búsqueda por nombre funcional</t>
        </is>
      </c>
      <c r="G45" s="4" t="inlineStr">
        <is>
          <t>Alta</t>
        </is>
      </c>
      <c r="H45" s="3" t="inlineStr">
        <is>
          <t>Pendiente</t>
        </is>
      </c>
      <c r="I45" s="3" t="inlineStr"/>
      <c r="J45" s="3" t="inlineStr"/>
      <c r="K45" s="3" t="inlineStr"/>
    </row>
    <row r="46">
      <c r="A46" s="12" t="inlineStr">
        <is>
          <t>7. Frontend / UX</t>
        </is>
      </c>
      <c r="B46" s="3" t="inlineStr">
        <is>
          <t>TC-73</t>
        </is>
      </c>
      <c r="C46" s="3" t="inlineStr">
        <is>
          <t>Matchcode Proveedor</t>
        </is>
      </c>
      <c r="D46" s="3" t="inlineStr">
        <is>
          <t>UI cargada</t>
        </is>
      </c>
      <c r="E46" s="3" t="inlineStr">
        <is>
          <t>Click value-help filtro Proveedor</t>
        </is>
      </c>
      <c r="F46" s="3" t="inlineStr">
        <is>
          <t>Diálogo con RUT + Nombre. Selección aplica filtro</t>
        </is>
      </c>
      <c r="G46" s="4" t="inlineStr">
        <is>
          <t>Alta</t>
        </is>
      </c>
      <c r="H46" s="3" t="inlineStr">
        <is>
          <t>Pendiente</t>
        </is>
      </c>
      <c r="I46" s="3" t="inlineStr"/>
      <c r="J46" s="3" t="inlineStr"/>
      <c r="K46" s="3" t="inlineStr"/>
    </row>
    <row r="47">
      <c r="A47" s="12" t="inlineStr">
        <is>
          <t>7. Frontend / UX</t>
        </is>
      </c>
      <c r="B47" s="3" t="inlineStr">
        <is>
          <t>TC-74</t>
        </is>
      </c>
      <c r="C47" s="3" t="inlineStr">
        <is>
          <t>Refrescar sin selección</t>
        </is>
      </c>
      <c r="D47" s="3" t="inlineStr">
        <is>
          <t>Tabla con varios registros, nada seleccionado</t>
        </is>
      </c>
      <c r="E47" s="3" t="inlineStr">
        <is>
          <t>Click Refrescar</t>
        </is>
      </c>
      <c r="F47" s="3" t="inlineStr">
        <is>
          <t>Toolbar refresh dispara RefrescarMasivo + recarga binding</t>
        </is>
      </c>
      <c r="G47" s="4" t="inlineStr">
        <is>
          <t>Alta</t>
        </is>
      </c>
      <c r="H47" s="3" t="inlineStr">
        <is>
          <t>Pendiente</t>
        </is>
      </c>
      <c r="I47" s="3" t="inlineStr"/>
      <c r="J47" s="3" t="inlineStr"/>
      <c r="K47" s="3" t="inlineStr"/>
    </row>
    <row r="48">
      <c r="A48" s="12" t="inlineStr">
        <is>
          <t>7. Frontend / UX</t>
        </is>
      </c>
      <c r="B48" s="3" t="inlineStr">
        <is>
          <t>TC-75</t>
        </is>
      </c>
      <c r="C48" s="3" t="inlineStr">
        <is>
          <t>DiasPendientes &gt;= 7 muestra advertencia</t>
        </is>
      </c>
      <c r="D48" s="3" t="inlineStr">
        <is>
          <t>Registro con dias_pend=8</t>
        </is>
      </c>
      <c r="E48" s="3" t="inlineStr">
        <is>
          <t>Ver tabla</t>
        </is>
      </c>
      <c r="F48" s="3" t="inlineStr">
        <is>
          <t>Columna muestra '8 días ⚠ RECHAZO'</t>
        </is>
      </c>
      <c r="G48" s="5" t="inlineStr">
        <is>
          <t>Media</t>
        </is>
      </c>
      <c r="H48" s="3" t="inlineStr">
        <is>
          <t>Pendiente</t>
        </is>
      </c>
      <c r="I48" s="3" t="inlineStr"/>
      <c r="J48" s="3" t="inlineStr"/>
      <c r="K48" s="3" t="inlineStr"/>
    </row>
    <row r="49">
      <c r="A49" s="12" t="inlineStr">
        <is>
          <t>7. Frontend / UX</t>
        </is>
      </c>
      <c r="B49" s="3" t="inlineStr">
        <is>
          <t>TC-76</t>
        </is>
      </c>
      <c r="C49" s="3" t="inlineStr">
        <is>
          <t>Estado coloreado según matriz</t>
        </is>
      </c>
      <c r="D49" s="3" t="inlineStr">
        <is>
          <t>Registros en cada estado</t>
        </is>
      </c>
      <c r="E49" s="3" t="inlineStr">
        <is>
          <t>Ver tabla</t>
        </is>
      </c>
      <c r="F49" s="3" t="inlineStr">
        <is>
          <t>01 Gris / 02 Verde / 04 Naranja / 05 Rojo / 03 Negro o Error / 06 Azul (Information)</t>
        </is>
      </c>
      <c r="G49" s="4" t="inlineStr">
        <is>
          <t>Alta</t>
        </is>
      </c>
      <c r="H49" s="3" t="inlineStr">
        <is>
          <t>Pendiente</t>
        </is>
      </c>
      <c r="I49" s="3" t="inlineStr"/>
      <c r="J49" s="3" t="inlineStr"/>
      <c r="K49" s="3" t="inlineStr"/>
    </row>
    <row r="50">
      <c r="A50" s="13" t="inlineStr">
        <is>
          <t>8. Edge Cases</t>
        </is>
      </c>
      <c r="B50" s="3" t="inlineStr">
        <is>
          <t>TC-80</t>
        </is>
      </c>
      <c r="C50" s="3" t="inlineStr">
        <is>
          <t>XML malformado en ingest</t>
        </is>
      </c>
      <c r="D50" s="3" t="inlineStr">
        <is>
          <t>XML sin nodos requeridos o sintácticamente inválido</t>
        </is>
      </c>
      <c r="E50" s="3" t="inlineStr">
        <is>
          <t>IngestFromXml</t>
        </is>
      </c>
      <c r="F50" s="3" t="inlineStr">
        <is>
          <t>Reportado como error con mensaje 'Error parseando XML...'. Registro NO creado</t>
        </is>
      </c>
      <c r="G50" s="4" t="inlineStr">
        <is>
          <t>Alta</t>
        </is>
      </c>
      <c r="H50" s="3" t="inlineStr">
        <is>
          <t>Pendiente</t>
        </is>
      </c>
      <c r="I50" s="3" t="inlineStr"/>
      <c r="J50" s="3" t="inlineStr"/>
      <c r="K50" s="3" t="inlineStr"/>
    </row>
    <row r="51">
      <c r="A51" s="13" t="inlineStr">
        <is>
          <t>8. Edge Cases</t>
        </is>
      </c>
      <c r="B51" s="3" t="inlineStr">
        <is>
          <t>TC-81</t>
        </is>
      </c>
      <c r="C51" s="3" t="inlineStr">
        <is>
          <t>XML válido pero monto distinto a SAP</t>
        </is>
      </c>
      <c r="D51" s="3" t="inlineStr">
        <is>
          <t>OC con monto 1.000.000; XML con 1.500.000</t>
        </is>
      </c>
      <c r="E51" s="3" t="inlineStr">
        <is>
          <t>Pipeline</t>
        </is>
      </c>
      <c r="F51" s="3" t="inlineStr">
        <is>
          <t>Estado '04'. Log de validate_monto (tolerancia excedida)</t>
        </is>
      </c>
      <c r="G51" s="4" t="inlineStr">
        <is>
          <t>Alta</t>
        </is>
      </c>
      <c r="H51" s="3" t="inlineStr">
        <is>
          <t>Pendiente</t>
        </is>
      </c>
      <c r="I51" s="3" t="inlineStr"/>
      <c r="J51" s="3" t="inlineStr"/>
      <c r="K51" s="3" t="inlineStr"/>
    </row>
    <row r="52">
      <c r="A52" s="13" t="inlineStr">
        <is>
          <t>8. Edge Cases</t>
        </is>
      </c>
      <c r="B52" s="3" t="inlineStr">
        <is>
          <t>TC-82</t>
        </is>
      </c>
      <c r="C52" s="3" t="inlineStr">
        <is>
          <t>Crear DTE duplicado</t>
        </is>
      </c>
      <c r="D52" s="3" t="inlineStr">
        <is>
          <t>Misma llave (TipoDte, Folio, Proveedor) ya existe</t>
        </is>
      </c>
      <c r="E52" s="3" t="inlineStr">
        <is>
          <t>IngestFromXml con XML similar</t>
        </is>
      </c>
      <c r="F52" s="3" t="inlineStr">
        <is>
          <t>Error de constraint (key violation) o reportado como duplicado</t>
        </is>
      </c>
      <c r="G52" s="5" t="inlineStr">
        <is>
          <t>Media</t>
        </is>
      </c>
      <c r="H52" s="3" t="inlineStr">
        <is>
          <t>Pendiente</t>
        </is>
      </c>
      <c r="I52" s="3" t="inlineStr"/>
      <c r="J52" s="3" t="inlineStr"/>
      <c r="K52" s="3" t="inlineStr"/>
    </row>
    <row r="53">
      <c r="A53" s="13" t="inlineStr">
        <is>
          <t>8. Edge Cases</t>
        </is>
      </c>
      <c r="B53" s="3" t="inlineStr">
        <is>
          <t>TC-83</t>
        </is>
      </c>
      <c r="C53" s="3" t="inlineStr">
        <is>
          <t>Reprocesar registro en '02'</t>
        </is>
      </c>
      <c r="D53" s="3" t="inlineStr">
        <is>
          <t>Estado '02'</t>
        </is>
      </c>
      <c r="E53" s="3" t="inlineStr">
        <is>
          <t>Click Reprocesar</t>
        </is>
      </c>
      <c r="F53" s="3" t="inlineStr">
        <is>
          <t>Estado vuelve a '01' → AutoProcess re-ejecuta → vuelve a '02' (si validaciones siguen OK)</t>
        </is>
      </c>
      <c r="G53" s="5" t="inlineStr">
        <is>
          <t>Media</t>
        </is>
      </c>
      <c r="H53" s="3" t="inlineStr">
        <is>
          <t>Pendiente</t>
        </is>
      </c>
      <c r="I53" s="3" t="inlineStr"/>
      <c r="J53" s="3" t="inlineStr"/>
      <c r="K53" s="3" t="inlineStr"/>
    </row>
    <row r="54">
      <c r="A54" s="13" t="inlineStr">
        <is>
          <t>8. Edge Cases</t>
        </is>
      </c>
      <c r="B54" s="3" t="inlineStr">
        <is>
          <t>TC-84</t>
        </is>
      </c>
      <c r="C54" s="3" t="inlineStr">
        <is>
          <t>Concurrencia: dos usuarios Contabilizar mismo registro</t>
        </is>
      </c>
      <c r="D54" s="3" t="inlineStr">
        <is>
          <t>2 sesiones, mismo registro en '02'</t>
        </is>
      </c>
      <c r="E54" s="3" t="inlineStr">
        <is>
          <t>Ambos clickean Contabilizar</t>
        </is>
      </c>
      <c r="F54" s="3" t="inlineStr">
        <is>
          <t>Solo uno tiene éxito (lock master por la entidad)</t>
        </is>
      </c>
      <c r="G54" s="14" t="inlineStr">
        <is>
          <t>Baja</t>
        </is>
      </c>
      <c r="H54" s="3" t="inlineStr">
        <is>
          <t>Pendiente</t>
        </is>
      </c>
      <c r="I54" s="3" t="inlineStr"/>
      <c r="J54" s="3" t="inlineStr"/>
      <c r="K54" s="3" t="inlineStr"/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8" customWidth="1" min="8" max="8"/>
    <col width="8" customWidth="1" min="9" max="9"/>
    <col width="13" customWidth="1" min="10" max="10"/>
  </cols>
  <sheetData>
    <row r="1">
      <c r="A1" s="1" t="inlineStr">
        <is>
          <t>Sección</t>
        </is>
      </c>
      <c r="B1" s="1" t="inlineStr">
        <is>
          <t>Total Casos</t>
        </is>
      </c>
      <c r="C1" s="1" t="inlineStr">
        <is>
          <t>Críticos</t>
        </is>
      </c>
      <c r="D1" s="1" t="inlineStr">
        <is>
          <t>Altos</t>
        </is>
      </c>
      <c r="E1" s="1" t="inlineStr">
        <is>
          <t>Medios</t>
        </is>
      </c>
      <c r="F1" s="1" t="inlineStr">
        <is>
          <t>Bajos</t>
        </is>
      </c>
      <c r="G1" s="1" t="inlineStr">
        <is>
          <t>Ejecutados</t>
        </is>
      </c>
      <c r="H1" s="1" t="inlineStr">
        <is>
          <t>OK</t>
        </is>
      </c>
      <c r="I1" s="1" t="inlineStr">
        <is>
          <t>NOK</t>
        </is>
      </c>
      <c r="J1" s="1" t="inlineStr">
        <is>
          <t>Bloqueados</t>
        </is>
      </c>
    </row>
    <row r="2">
      <c r="A2" s="15" t="inlineStr">
        <is>
          <t>1. Ingestión</t>
        </is>
      </c>
      <c r="B2" s="16">
        <f>COUNTIF('Plan de Pruebas'!A2:A54, A2)</f>
        <v/>
      </c>
      <c r="C2" s="16">
        <f>COUNTIFS('Plan de Pruebas'!A2:A54, A2, 'Plan de Pruebas'!G2:G54, "Crítica")</f>
        <v/>
      </c>
      <c r="D2" s="16">
        <f>COUNTIFS('Plan de Pruebas'!A2:A54, A2, 'Plan de Pruebas'!G2:G54, "Alta")</f>
        <v/>
      </c>
      <c r="E2" s="16">
        <f>COUNTIFS('Plan de Pruebas'!A2:A54, A2, 'Plan de Pruebas'!G2:G54, "Media")</f>
        <v/>
      </c>
      <c r="F2" s="16">
        <f>COUNTIFS('Plan de Pruebas'!A2:A54, A2, 'Plan de Pruebas'!G2:G54, "Baja")</f>
        <v/>
      </c>
      <c r="G2" s="16">
        <f>COUNTIFS('Plan de Pruebas'!A2:A54, A2, 'Plan de Pruebas'!H2:H54, "&lt;&gt;Pendiente")</f>
        <v/>
      </c>
      <c r="H2" s="16">
        <f>COUNTIFS('Plan de Pruebas'!A2:A54, A2, 'Plan de Pruebas'!H2:H54, "OK")</f>
        <v/>
      </c>
      <c r="I2" s="16">
        <f>COUNTIFS('Plan de Pruebas'!A2:A54, A2, 'Plan de Pruebas'!H2:H54, "NOK")</f>
        <v/>
      </c>
      <c r="J2" s="16">
        <f>COUNTIFS('Plan de Pruebas'!A2:A54, A2, 'Plan de Pruebas'!H2:H54, "Bloqueado")</f>
        <v/>
      </c>
    </row>
    <row r="3">
      <c r="A3" s="15" t="inlineStr">
        <is>
          <t>2. Validaciones</t>
        </is>
      </c>
      <c r="B3" s="16">
        <f>COUNTIF('Plan de Pruebas'!A2:A54, A3)</f>
        <v/>
      </c>
      <c r="C3" s="16">
        <f>COUNTIFS('Plan de Pruebas'!A2:A54, A3, 'Plan de Pruebas'!G2:G54, "Crítica")</f>
        <v/>
      </c>
      <c r="D3" s="16">
        <f>COUNTIFS('Plan de Pruebas'!A2:A54, A3, 'Plan de Pruebas'!G2:G54, "Alta")</f>
        <v/>
      </c>
      <c r="E3" s="16">
        <f>COUNTIFS('Plan de Pruebas'!A2:A54, A3, 'Plan de Pruebas'!G2:G54, "Media")</f>
        <v/>
      </c>
      <c r="F3" s="16">
        <f>COUNTIFS('Plan de Pruebas'!A2:A54, A3, 'Plan de Pruebas'!G2:G54, "Baja")</f>
        <v/>
      </c>
      <c r="G3" s="16">
        <f>COUNTIFS('Plan de Pruebas'!A2:A54, A3, 'Plan de Pruebas'!H2:H54, "&lt;&gt;Pendiente")</f>
        <v/>
      </c>
      <c r="H3" s="16">
        <f>COUNTIFS('Plan de Pruebas'!A2:A54, A3, 'Plan de Pruebas'!H2:H54, "OK")</f>
        <v/>
      </c>
      <c r="I3" s="16">
        <f>COUNTIFS('Plan de Pruebas'!A2:A54, A3, 'Plan de Pruebas'!H2:H54, "NOK")</f>
        <v/>
      </c>
      <c r="J3" s="16">
        <f>COUNTIFS('Plan de Pruebas'!A2:A54, A3, 'Plan de Pruebas'!H2:H54, "Bloqueado")</f>
        <v/>
      </c>
    </row>
    <row r="4">
      <c r="A4" s="15" t="inlineStr">
        <is>
          <t>3. Anulación HES</t>
        </is>
      </c>
      <c r="B4" s="16">
        <f>COUNTIF('Plan de Pruebas'!A2:A54, A4)</f>
        <v/>
      </c>
      <c r="C4" s="16">
        <f>COUNTIFS('Plan de Pruebas'!A2:A54, A4, 'Plan de Pruebas'!G2:G54, "Crítica")</f>
        <v/>
      </c>
      <c r="D4" s="16">
        <f>COUNTIFS('Plan de Pruebas'!A2:A54, A4, 'Plan de Pruebas'!G2:G54, "Alta")</f>
        <v/>
      </c>
      <c r="E4" s="16">
        <f>COUNTIFS('Plan de Pruebas'!A2:A54, A4, 'Plan de Pruebas'!G2:G54, "Media")</f>
        <v/>
      </c>
      <c r="F4" s="16">
        <f>COUNTIFS('Plan de Pruebas'!A2:A54, A4, 'Plan de Pruebas'!G2:G54, "Baja")</f>
        <v/>
      </c>
      <c r="G4" s="16">
        <f>COUNTIFS('Plan de Pruebas'!A2:A54, A4, 'Plan de Pruebas'!H2:H54, "&lt;&gt;Pendiente")</f>
        <v/>
      </c>
      <c r="H4" s="16">
        <f>COUNTIFS('Plan de Pruebas'!A2:A54, A4, 'Plan de Pruebas'!H2:H54, "OK")</f>
        <v/>
      </c>
      <c r="I4" s="16">
        <f>COUNTIFS('Plan de Pruebas'!A2:A54, A4, 'Plan de Pruebas'!H2:H54, "NOK")</f>
        <v/>
      </c>
      <c r="J4" s="16">
        <f>COUNTIFS('Plan de Pruebas'!A2:A54, A4, 'Plan de Pruebas'!H2:H54, "Bloqueado")</f>
        <v/>
      </c>
    </row>
    <row r="5">
      <c r="A5" s="15" t="inlineStr">
        <is>
          <t>4. Validar → Contabilizar</t>
        </is>
      </c>
      <c r="B5" s="16">
        <f>COUNTIF('Plan de Pruebas'!A2:A54, A5)</f>
        <v/>
      </c>
      <c r="C5" s="16">
        <f>COUNTIFS('Plan de Pruebas'!A2:A54, A5, 'Plan de Pruebas'!G2:G54, "Crítica")</f>
        <v/>
      </c>
      <c r="D5" s="16">
        <f>COUNTIFS('Plan de Pruebas'!A2:A54, A5, 'Plan de Pruebas'!G2:G54, "Alta")</f>
        <v/>
      </c>
      <c r="E5" s="16">
        <f>COUNTIFS('Plan de Pruebas'!A2:A54, A5, 'Plan de Pruebas'!G2:G54, "Media")</f>
        <v/>
      </c>
      <c r="F5" s="16">
        <f>COUNTIFS('Plan de Pruebas'!A2:A54, A5, 'Plan de Pruebas'!G2:G54, "Baja")</f>
        <v/>
      </c>
      <c r="G5" s="16">
        <f>COUNTIFS('Plan de Pruebas'!A2:A54, A5, 'Plan de Pruebas'!H2:H54, "&lt;&gt;Pendiente")</f>
        <v/>
      </c>
      <c r="H5" s="16">
        <f>COUNTIFS('Plan de Pruebas'!A2:A54, A5, 'Plan de Pruebas'!H2:H54, "OK")</f>
        <v/>
      </c>
      <c r="I5" s="16">
        <f>COUNTIFS('Plan de Pruebas'!A2:A54, A5, 'Plan de Pruebas'!H2:H54, "NOK")</f>
        <v/>
      </c>
      <c r="J5" s="16">
        <f>COUNTIFS('Plan de Pruebas'!A2:A54, A5, 'Plan de Pruebas'!H2:H54, "Bloqueado")</f>
        <v/>
      </c>
    </row>
    <row r="6">
      <c r="A6" s="15" t="inlineStr">
        <is>
          <t>5. NC Pop-up</t>
        </is>
      </c>
      <c r="B6" s="16">
        <f>COUNTIF('Plan de Pruebas'!A2:A54, A6)</f>
        <v/>
      </c>
      <c r="C6" s="16">
        <f>COUNTIFS('Plan de Pruebas'!A2:A54, A6, 'Plan de Pruebas'!G2:G54, "Crítica")</f>
        <v/>
      </c>
      <c r="D6" s="16">
        <f>COUNTIFS('Plan de Pruebas'!A2:A54, A6, 'Plan de Pruebas'!G2:G54, "Alta")</f>
        <v/>
      </c>
      <c r="E6" s="16">
        <f>COUNTIFS('Plan de Pruebas'!A2:A54, A6, 'Plan de Pruebas'!G2:G54, "Media")</f>
        <v/>
      </c>
      <c r="F6" s="16">
        <f>COUNTIFS('Plan de Pruebas'!A2:A54, A6, 'Plan de Pruebas'!G2:G54, "Baja")</f>
        <v/>
      </c>
      <c r="G6" s="16">
        <f>COUNTIFS('Plan de Pruebas'!A2:A54, A6, 'Plan de Pruebas'!H2:H54, "&lt;&gt;Pendiente")</f>
        <v/>
      </c>
      <c r="H6" s="16">
        <f>COUNTIFS('Plan de Pruebas'!A2:A54, A6, 'Plan de Pruebas'!H2:H54, "OK")</f>
        <v/>
      </c>
      <c r="I6" s="16">
        <f>COUNTIFS('Plan de Pruebas'!A2:A54, A6, 'Plan de Pruebas'!H2:H54, "NOK")</f>
        <v/>
      </c>
      <c r="J6" s="16">
        <f>COUNTIFS('Plan de Pruebas'!A2:A54, A6, 'Plan de Pruebas'!H2:H54, "Bloqueado")</f>
        <v/>
      </c>
    </row>
    <row r="7">
      <c r="A7" s="15" t="inlineStr">
        <is>
          <t>6. Refrescar + Grace</t>
        </is>
      </c>
      <c r="B7" s="16">
        <f>COUNTIF('Plan de Pruebas'!A2:A54, A7)</f>
        <v/>
      </c>
      <c r="C7" s="16">
        <f>COUNTIFS('Plan de Pruebas'!A2:A54, A7, 'Plan de Pruebas'!G2:G54, "Crítica")</f>
        <v/>
      </c>
      <c r="D7" s="16">
        <f>COUNTIFS('Plan de Pruebas'!A2:A54, A7, 'Plan de Pruebas'!G2:G54, "Alta")</f>
        <v/>
      </c>
      <c r="E7" s="16">
        <f>COUNTIFS('Plan de Pruebas'!A2:A54, A7, 'Plan de Pruebas'!G2:G54, "Media")</f>
        <v/>
      </c>
      <c r="F7" s="16">
        <f>COUNTIFS('Plan de Pruebas'!A2:A54, A7, 'Plan de Pruebas'!G2:G54, "Baja")</f>
        <v/>
      </c>
      <c r="G7" s="16">
        <f>COUNTIFS('Plan de Pruebas'!A2:A54, A7, 'Plan de Pruebas'!H2:H54, "&lt;&gt;Pendiente")</f>
        <v/>
      </c>
      <c r="H7" s="16">
        <f>COUNTIFS('Plan de Pruebas'!A2:A54, A7, 'Plan de Pruebas'!H2:H54, "OK")</f>
        <v/>
      </c>
      <c r="I7" s="16">
        <f>COUNTIFS('Plan de Pruebas'!A2:A54, A7, 'Plan de Pruebas'!H2:H54, "NOK")</f>
        <v/>
      </c>
      <c r="J7" s="16">
        <f>COUNTIFS('Plan de Pruebas'!A2:A54, A7, 'Plan de Pruebas'!H2:H54, "Bloqueado")</f>
        <v/>
      </c>
    </row>
    <row r="8">
      <c r="A8" s="15" t="inlineStr">
        <is>
          <t>7. Frontend / UX</t>
        </is>
      </c>
      <c r="B8" s="16">
        <f>COUNTIF('Plan de Pruebas'!A2:A54, A8)</f>
        <v/>
      </c>
      <c r="C8" s="16">
        <f>COUNTIFS('Plan de Pruebas'!A2:A54, A8, 'Plan de Pruebas'!G2:G54, "Crítica")</f>
        <v/>
      </c>
      <c r="D8" s="16">
        <f>COUNTIFS('Plan de Pruebas'!A2:A54, A8, 'Plan de Pruebas'!G2:G54, "Alta")</f>
        <v/>
      </c>
      <c r="E8" s="16">
        <f>COUNTIFS('Plan de Pruebas'!A2:A54, A8, 'Plan de Pruebas'!G2:G54, "Media")</f>
        <v/>
      </c>
      <c r="F8" s="16">
        <f>COUNTIFS('Plan de Pruebas'!A2:A54, A8, 'Plan de Pruebas'!G2:G54, "Baja")</f>
        <v/>
      </c>
      <c r="G8" s="16">
        <f>COUNTIFS('Plan de Pruebas'!A2:A54, A8, 'Plan de Pruebas'!H2:H54, "&lt;&gt;Pendiente")</f>
        <v/>
      </c>
      <c r="H8" s="16">
        <f>COUNTIFS('Plan de Pruebas'!A2:A54, A8, 'Plan de Pruebas'!H2:H54, "OK")</f>
        <v/>
      </c>
      <c r="I8" s="16">
        <f>COUNTIFS('Plan de Pruebas'!A2:A54, A8, 'Plan de Pruebas'!H2:H54, "NOK")</f>
        <v/>
      </c>
      <c r="J8" s="16">
        <f>COUNTIFS('Plan de Pruebas'!A2:A54, A8, 'Plan de Pruebas'!H2:H54, "Bloqueado")</f>
        <v/>
      </c>
    </row>
    <row r="9">
      <c r="A9" s="15" t="inlineStr">
        <is>
          <t>8. Edge Cases</t>
        </is>
      </c>
      <c r="B9" s="16">
        <f>COUNTIF('Plan de Pruebas'!A2:A54, A9)</f>
        <v/>
      </c>
      <c r="C9" s="16">
        <f>COUNTIFS('Plan de Pruebas'!A2:A54, A9, 'Plan de Pruebas'!G2:G54, "Crítica")</f>
        <v/>
      </c>
      <c r="D9" s="16">
        <f>COUNTIFS('Plan de Pruebas'!A2:A54, A9, 'Plan de Pruebas'!G2:G54, "Alta")</f>
        <v/>
      </c>
      <c r="E9" s="16">
        <f>COUNTIFS('Plan de Pruebas'!A2:A54, A9, 'Plan de Pruebas'!G2:G54, "Media")</f>
        <v/>
      </c>
      <c r="F9" s="16">
        <f>COUNTIFS('Plan de Pruebas'!A2:A54, A9, 'Plan de Pruebas'!G2:G54, "Baja")</f>
        <v/>
      </c>
      <c r="G9" s="16">
        <f>COUNTIFS('Plan de Pruebas'!A2:A54, A9, 'Plan de Pruebas'!H2:H54, "&lt;&gt;Pendiente")</f>
        <v/>
      </c>
      <c r="H9" s="16">
        <f>COUNTIFS('Plan de Pruebas'!A2:A54, A9, 'Plan de Pruebas'!H2:H54, "OK")</f>
        <v/>
      </c>
      <c r="I9" s="16">
        <f>COUNTIFS('Plan de Pruebas'!A2:A54, A9, 'Plan de Pruebas'!H2:H54, "NOK")</f>
        <v/>
      </c>
      <c r="J9" s="16">
        <f>COUNTIFS('Plan de Pruebas'!A2:A54, A9, 'Plan de Pruebas'!H2:H54, "Bloqueado")</f>
        <v/>
      </c>
    </row>
    <row r="10">
      <c r="A10" s="17" t="inlineStr">
        <is>
          <t>TOTAL</t>
        </is>
      </c>
      <c r="B10" s="18">
        <f>SUM(B2:B9)</f>
        <v/>
      </c>
      <c r="C10" s="18">
        <f>SUM(C2:C9)</f>
        <v/>
      </c>
      <c r="D10" s="18">
        <f>SUM(D2:D9)</f>
        <v/>
      </c>
      <c r="E10" s="18">
        <f>SUM(E2:E9)</f>
        <v/>
      </c>
      <c r="F10" s="18">
        <f>SUM(F2:F9)</f>
        <v/>
      </c>
      <c r="G10" s="18">
        <f>SUM(G2:G9)</f>
        <v/>
      </c>
      <c r="H10" s="18">
        <f>SUM(H2:H9)</f>
        <v/>
      </c>
      <c r="I10" s="18">
        <f>SUM(I2:I9)</f>
        <v/>
      </c>
      <c r="J10" s="18">
        <f>SUM(J2:J9)</f>
        <v/>
      </c>
    </row>
    <row r="12">
      <c r="A12" s="19" t="inlineStr">
        <is>
          <t>Leyenda Estado:</t>
        </is>
      </c>
    </row>
    <row r="13">
      <c r="A13" t="inlineStr">
        <is>
          <t>Pendiente - aún no ejecutado</t>
        </is>
      </c>
    </row>
    <row r="14">
      <c r="A14" t="inlineStr">
        <is>
          <t>OK - ejecutado y exitoso</t>
        </is>
      </c>
    </row>
    <row r="15">
      <c r="A15" t="inlineStr">
        <is>
          <t>NOK - falló (registrar bug)</t>
        </is>
      </c>
    </row>
    <row r="16">
      <c r="A16" t="inlineStr">
        <is>
          <t>Bloqueado - no se puede ejecutar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20" t="inlineStr">
        <is>
          <t>Concepto</t>
        </is>
      </c>
      <c r="B1" s="20" t="inlineStr">
        <is>
          <t>Detalle</t>
        </is>
      </c>
    </row>
    <row r="2">
      <c r="A2" s="3" t="inlineStr">
        <is>
          <t>Sociedad receptora</t>
        </is>
      </c>
      <c r="B2" s="3" t="inlineStr">
        <is>
          <t>Registrar en I_AddlCompanyCodeInformation con CompanyCodeParameterType='TAXNR' + RUT chileno (ej: 76188363-1)</t>
        </is>
      </c>
    </row>
    <row r="3">
      <c r="A3" s="3" t="inlineStr">
        <is>
          <t>Proveedor estándar</t>
        </is>
      </c>
      <c r="B3" s="3" t="inlineStr">
        <is>
          <t>Maestro con TaxNumber1='76543210-9'</t>
        </is>
      </c>
    </row>
    <row r="4">
      <c r="A4" s="3" t="inlineStr">
        <is>
          <t>Proveedor servicios generales</t>
        </is>
      </c>
      <c r="B4" s="3" t="inlineStr">
        <is>
          <t>Clasificación con Characteristic='PROV_IMPUTACION' (TC-15)</t>
        </is>
      </c>
    </row>
    <row r="5">
      <c r="A5" s="3" t="inlineStr">
        <is>
          <t>OC aprobada</t>
        </is>
      </c>
      <c r="B5" s="3" t="inlineStr">
        <is>
          <t>PurchasingProcessingStatus='05', sociedad y proveedor correctos</t>
        </is>
      </c>
    </row>
    <row r="6">
      <c r="A6" s="3" t="inlineStr">
        <is>
          <t>HES aprobada</t>
        </is>
      </c>
      <c r="B6" s="3" t="inlineStr">
        <is>
          <t>ApprovalStatus='30', ligada a la OC</t>
        </is>
      </c>
    </row>
    <row r="7">
      <c r="A7" s="3" t="inlineStr">
        <is>
          <t>EM válida</t>
        </is>
      </c>
      <c r="B7" s="3" t="inlineStr">
        <is>
          <t>Ligada a OC vía I_PurchaseOrderHistoryAPI01</t>
        </is>
      </c>
    </row>
    <row r="8">
      <c r="A8" s="3" t="inlineStr">
        <is>
          <t>Factura previa para NC</t>
        </is>
      </c>
      <c r="B8" s="3" t="inlineStr">
        <is>
          <t>Contabilizar factura tipo 33 antes de ingestar NC tipo 61</t>
        </is>
      </c>
    </row>
    <row r="9">
      <c r="A9" s="3" t="inlineStr">
        <is>
          <t>Factura con reverso (TC-32)</t>
        </is>
      </c>
      <c r="B9" s="3" t="inlineStr">
        <is>
          <t>Crear factura S=Debe + nota anulación H referenciando factura original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50" customWidth="1" min="4" max="4"/>
  </cols>
  <sheetData>
    <row r="1">
      <c r="A1" s="20" t="inlineStr">
        <is>
          <t>Fase</t>
        </is>
      </c>
      <c r="B1" s="20" t="inlineStr">
        <is>
          <t>Duración estimada</t>
        </is>
      </c>
      <c r="C1" s="20" t="inlineStr">
        <is>
          <t>Casos</t>
        </is>
      </c>
      <c r="D1" s="20" t="inlineStr">
        <is>
          <t>Objetivo</t>
        </is>
      </c>
    </row>
    <row r="2">
      <c r="A2" s="3" t="inlineStr">
        <is>
          <t>1. Smoke test</t>
        </is>
      </c>
      <c r="B2" s="3" t="inlineStr">
        <is>
          <t>15 min</t>
        </is>
      </c>
      <c r="C2" s="3" t="inlineStr">
        <is>
          <t>TC-01, TC-25, TC-42</t>
        </is>
      </c>
      <c r="D2" s="3" t="inlineStr">
        <is>
          <t>Verificar camino feliz end-to-end</t>
        </is>
      </c>
    </row>
    <row r="3">
      <c r="A3" s="3" t="inlineStr">
        <is>
          <t>2. Validaciones core</t>
        </is>
      </c>
      <c r="B3" s="3" t="inlineStr">
        <is>
          <t>1h</t>
        </is>
      </c>
      <c r="C3" s="3" t="inlineStr">
        <is>
          <t>TC-10 a TC-22</t>
        </is>
      </c>
      <c r="D3" s="3" t="inlineStr">
        <is>
          <t>Cubrir las 8 reglas del spec</t>
        </is>
      </c>
    </row>
    <row r="4">
      <c r="A4" s="3" t="inlineStr">
        <is>
          <t>3. NC/ND</t>
        </is>
      </c>
      <c r="B4" s="3" t="inlineStr">
        <is>
          <t>45 min</t>
        </is>
      </c>
      <c r="C4" s="3" t="inlineStr">
        <is>
          <t>TC-23, TC-24, TC-50 a TC-55</t>
        </is>
      </c>
      <c r="D4" s="3" t="inlineStr">
        <is>
          <t>Flujo de notas crédito/débito</t>
        </is>
      </c>
    </row>
    <row r="5">
      <c r="A5" s="3" t="inlineStr">
        <is>
          <t>4. Refrescar</t>
        </is>
      </c>
      <c r="B5" s="3" t="inlineStr">
        <is>
          <t>30 min</t>
        </is>
      </c>
      <c r="C5" s="3" t="inlineStr">
        <is>
          <t>TC-60 a TC-64</t>
        </is>
      </c>
      <c r="D5" s="3" t="inlineStr">
        <is>
          <t>Sincronización + grace period</t>
        </is>
      </c>
    </row>
    <row r="6">
      <c r="A6" s="3" t="inlineStr">
        <is>
          <t>5. Frontend</t>
        </is>
      </c>
      <c r="B6" s="3" t="inlineStr">
        <is>
          <t>30 min</t>
        </is>
      </c>
      <c r="C6" s="3" t="inlineStr">
        <is>
          <t>TC-70 a TC-76</t>
        </is>
      </c>
      <c r="D6" s="3" t="inlineStr">
        <is>
          <t>UX visual</t>
        </is>
      </c>
    </row>
    <row r="7">
      <c r="A7" s="3" t="inlineStr">
        <is>
          <t>6. Edge cases</t>
        </is>
      </c>
      <c r="B7" s="3" t="inlineStr">
        <is>
          <t>30 min</t>
        </is>
      </c>
      <c r="C7" s="3" t="inlineStr">
        <is>
          <t>TC-80 a TC-84</t>
        </is>
      </c>
      <c r="D7" s="3" t="inlineStr">
        <is>
          <t>Casos límite y negativos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2026-05-17T07:08:18Z</dcterms:created>
  <dcterms:modified xmlns:dcterms="http://purl.org/dc/terms/" xmlns:xsi="http://www.w3.org/2001/XMLSchema-instance" xsi:type="dcterms:W3CDTF">2026-05-17T07:08:18Z</dcterms:modified>
</cp:coreProperties>
</file>